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nay HOME" sheetId="1" r:id="rId5"/>
  </sheets>
  <definedNames/>
  <calcPr/>
</workbook>
</file>

<file path=xl/sharedStrings.xml><?xml version="1.0" encoding="utf-8"?>
<sst xmlns="http://schemas.openxmlformats.org/spreadsheetml/2006/main" count="23" uniqueCount="23">
  <si>
    <t>Consumer Name</t>
  </si>
  <si>
    <t>Shri Madhusham Khobragade</t>
  </si>
  <si>
    <t>Consumer No</t>
  </si>
  <si>
    <t>Fixed Charges</t>
  </si>
  <si>
    <t>Sanct. Load (kW)</t>
  </si>
  <si>
    <t>3.30KW</t>
  </si>
  <si>
    <t>Connection Type</t>
  </si>
  <si>
    <t>90/ LT I Res 1-Phase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</si>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</sst>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1">
    <font>
      <sz val="10.0"/>
      <color rgb="FF000000"/>
      <name val="Arial"/>
      <scheme val="minor"/>
    </font>
    <font>
      <b/>
      <color rgb="FF000000"/>
      <name val="Arial"/>
    </font>
    <font>
      <sz val="9.0"/>
      <color rgb="FF000000"/>
      <name val="Calibri"/>
    </font>
    <font>
      <sz val="8.0"/>
      <color rgb="FF000000"/>
      <name val="Verdana"/>
    </font>
    <font>
      <color rgb="FF000000"/>
      <name val="Arial"/>
    </font>
    <font>
      <sz val="9.0"/>
      <color theme="1"/>
      <name val="Calibri"/>
    </font>
    <font>
      <u/>
      <sz val="9.0"/>
      <color rgb="FF000000"/>
      <name val="Calibri"/>
    </font>
    <font>
      <color rgb="FF000000"/>
      <name val="Calibri"/>
    </font>
    <font>
      <sz val="10.0"/>
      <color rgb="FF000000"/>
      <name val="Calibri"/>
    </font>
    <font>
      <b/>
      <sz val="9.0"/>
      <color rgb="FF000000"/>
      <name val="Calibri"/>
    </font>
    <font>
      <b/>
      <sz val="8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horizontal="left"/>
    </xf>
    <xf borderId="0" fillId="0" fontId="4" numFmtId="0" xfId="0" applyFont="1"/>
    <xf borderId="0" fillId="2" fontId="4" numFmtId="0" xfId="0" applyFont="1"/>
    <xf borderId="1" fillId="3" fontId="2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ont="1">
      <alignment horizontal="right"/>
    </xf>
    <xf borderId="0" fillId="0" fontId="2" numFmtId="0" xfId="0" applyAlignment="1" applyFont="1">
      <alignment horizontal="right" shrinkToFit="0" vertical="bottom" wrapText="0"/>
    </xf>
    <xf borderId="2" fillId="3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0" fontId="5" numFmtId="0" xfId="0" applyAlignment="1" applyBorder="1" applyFont="1">
      <alignment horizontal="right"/>
    </xf>
    <xf borderId="0" fillId="2" fontId="3" numFmtId="0" xfId="0" applyAlignment="1" applyFont="1">
      <alignment horizontal="left"/>
    </xf>
    <xf borderId="0" fillId="4" fontId="2" numFmtId="0" xfId="0" applyAlignment="1" applyFill="1" applyFont="1">
      <alignment horizontal="right"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3" fillId="5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0" fillId="0" fontId="4" numFmtId="164" xfId="0" applyFont="1" applyNumberFormat="1"/>
    <xf borderId="1" fillId="0" fontId="4" numFmtId="0" xfId="0" applyBorder="1" applyFont="1"/>
    <xf borderId="1" fillId="2" fontId="7" numFmtId="4" xfId="0" applyAlignment="1" applyBorder="1" applyFont="1" applyNumberFormat="1">
      <alignment horizontal="right" vertical="bottom"/>
    </xf>
    <xf borderId="1" fillId="2" fontId="8" numFmtId="0" xfId="0" applyBorder="1" applyFont="1"/>
    <xf borderId="0" fillId="2" fontId="8" numFmtId="0" xfId="0" applyFont="1"/>
    <xf borderId="0" fillId="2" fontId="8" numFmtId="0" xfId="0" applyAlignment="1" applyFont="1">
      <alignment shrinkToFit="0" vertical="bottom" wrapText="0"/>
    </xf>
    <xf borderId="1" fillId="0" fontId="3" numFmtId="4" xfId="0" applyAlignment="1" applyBorder="1" applyFont="1" applyNumberFormat="1">
      <alignment horizontal="right"/>
    </xf>
    <xf borderId="0" fillId="2" fontId="7" numFmtId="4" xfId="0" applyAlignment="1" applyFont="1" applyNumberFormat="1">
      <alignment horizontal="right" vertical="bottom"/>
    </xf>
    <xf borderId="0" fillId="2" fontId="3" numFmtId="4" xfId="0" applyAlignment="1" applyFont="1" applyNumberFormat="1">
      <alignment horizontal="right"/>
    </xf>
    <xf borderId="2" fillId="0" fontId="2" numFmtId="0" xfId="0" applyAlignment="1" applyBorder="1" applyFont="1">
      <alignment shrinkToFit="0" vertical="bottom" wrapText="0"/>
    </xf>
    <xf borderId="1" fillId="2" fontId="8" numFmtId="4" xfId="0" applyAlignment="1" applyBorder="1" applyFont="1" applyNumberFormat="1">
      <alignment horizontal="right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2" fontId="8" numFmtId="4" xfId="0" applyAlignment="1" applyFont="1" applyNumberFormat="1">
      <alignment horizontal="right" shrinkToFit="0" vertical="bottom" wrapText="0"/>
    </xf>
    <xf borderId="4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2" fillId="0" fontId="9" numFmtId="4" xfId="0" applyAlignment="1" applyBorder="1" applyFont="1" applyNumberForma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4" fillId="0" fontId="2" numFmtId="0" xfId="0" applyAlignment="1" applyBorder="1" applyFont="1">
      <alignment horizontal="right" shrinkToFit="0" vertical="bottom" wrapText="0"/>
    </xf>
    <xf borderId="0" fillId="2" fontId="2" numFmtId="0" xfId="0" applyAlignment="1" applyFont="1">
      <alignment horizontal="right" shrinkToFit="0" vertical="bottom" wrapText="0"/>
    </xf>
    <xf borderId="4" fillId="3" fontId="9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horizontal="right" shrinkToFit="0" vertical="bottom" wrapText="0"/>
    </xf>
    <xf borderId="4" fillId="2" fontId="2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4" fillId="6" fontId="2" numFmtId="0" xfId="0" applyAlignment="1" applyBorder="1" applyFill="1" applyFont="1">
      <alignment horizontal="right" shrinkToFit="0" vertical="bottom" wrapText="0"/>
    </xf>
    <xf borderId="0" fillId="2" fontId="4" numFmtId="164" xfId="0" applyFont="1" applyNumberFormat="1"/>
    <xf borderId="0" fillId="2" fontId="10" numFmtId="0" xfId="0" applyAlignment="1" applyFont="1">
      <alignment horizontal="right"/>
    </xf>
    <xf borderId="0" fillId="2" fontId="3" numFmtId="164" xfId="0" applyAlignment="1" applyFont="1" applyNumberFormat="1">
      <alignment horizontal="right"/>
    </xf>
    <xf borderId="0" fillId="2" fontId="3" numFmtId="165" xfId="0" applyAlignment="1" applyFont="1" applyNumberFormat="1">
      <alignment horizontal="right"/>
    </xf>
    <xf borderId="0" fillId="2" fontId="3" numFmtId="166" xfId="0" applyAlignment="1" applyFont="1" applyNumberFormat="1">
      <alignment horizontal="right"/>
    </xf>
    <xf borderId="0" fillId="2" fontId="3" numFmtId="167" xfId="0" applyAlignment="1" applyFont="1" applyNumberFormat="1">
      <alignment horizontal="right"/>
    </xf>
    <xf borderId="0" fillId="0" fontId="4" numFmtId="4" xfId="0" applyFont="1" applyNumberFormat="1"/>
    <xf borderId="0" fillId="2" fontId="3" numFmtId="168" xfId="0" applyAlignment="1" applyFont="1" applyNumberFormat="1">
      <alignment horizontal="right"/>
    </xf>
    <xf borderId="0" fillId="2" fontId="3" numFmtId="3" xfId="0" applyAlignment="1" applyFont="1" applyNumberFormat="1">
      <alignment horizontal="right"/>
    </xf>
    <xf borderId="0" fillId="2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75"/>
    <col customWidth="1" min="4" max="4" width="20.75"/>
    <col customWidth="1" min="5" max="5" width="8.38"/>
    <col customWidth="1" min="6" max="6" width="11.25"/>
    <col customWidth="1" min="7" max="7" width="10.63"/>
    <col customWidth="1" min="8" max="8" width="11.88"/>
    <col customWidth="1" min="9" max="10" width="10.63"/>
    <col customWidth="1" min="11" max="11" width="12.88"/>
    <col customWidth="1" min="12" max="13" width="10.63"/>
    <col customWidth="1" min="14" max="14" width="12.13"/>
    <col customWidth="1" min="15" max="16" width="10.63"/>
    <col customWidth="1" min="17" max="17" width="11.38"/>
    <col customWidth="1" min="18" max="25" width="10.63"/>
  </cols>
  <sheetData>
    <row r="1" ht="15.75" customHeight="1">
      <c r="A1" s="1"/>
      <c r="B1" s="2" t="s">
        <v>0</v>
      </c>
      <c r="D1" s="3" t="s">
        <v>1</v>
      </c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4"/>
      <c r="B2" s="6" t="s">
        <v>2</v>
      </c>
      <c r="D2" s="7">
        <v>4.39320095567E11</v>
      </c>
      <c r="E2" s="8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4"/>
      <c r="B3" s="9" t="s">
        <v>3</v>
      </c>
      <c r="D3" s="10">
        <v>130.0</v>
      </c>
      <c r="E3" s="11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4"/>
      <c r="B4" s="9" t="s">
        <v>4</v>
      </c>
      <c r="D4" s="10" t="s">
        <v>5</v>
      </c>
      <c r="E4" s="8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4"/>
      <c r="B5" s="9" t="s">
        <v>6</v>
      </c>
      <c r="D5" s="12" t="s">
        <v>7</v>
      </c>
      <c r="E5" s="11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4"/>
      <c r="B6" s="13" t="s">
        <v>8</v>
      </c>
      <c r="C6" s="11"/>
      <c r="D6" s="11"/>
      <c r="E6" s="11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11"/>
      <c r="B7" s="11" t="s">
        <v>9</v>
      </c>
      <c r="C7" s="14">
        <v>600.0</v>
      </c>
      <c r="D7" s="11"/>
      <c r="E7" s="11"/>
      <c r="F7" s="1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1"/>
      <c r="B8" s="15" t="s">
        <v>10</v>
      </c>
      <c r="C8" s="16" t="s">
        <v>11</v>
      </c>
      <c r="D8" s="17" t="s">
        <v>12</v>
      </c>
      <c r="E8" s="16" t="s">
        <v>13</v>
      </c>
      <c r="F8" s="17" t="s">
        <v>14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.75" customHeight="1">
      <c r="A9" s="11"/>
      <c r="B9" s="19">
        <v>2.0</v>
      </c>
      <c r="C9" s="20">
        <v>45689.0</v>
      </c>
      <c r="D9" s="21">
        <v>99.0</v>
      </c>
      <c r="E9" s="22"/>
      <c r="F9" s="23"/>
      <c r="G9" s="24"/>
      <c r="H9" s="5"/>
      <c r="I9" s="25"/>
      <c r="J9" s="24"/>
      <c r="K9" s="5"/>
      <c r="L9" s="25"/>
      <c r="M9" s="24"/>
      <c r="N9" s="5"/>
      <c r="O9" s="25"/>
      <c r="P9" s="24"/>
      <c r="Q9" s="5"/>
      <c r="R9" s="25"/>
      <c r="S9" s="24"/>
      <c r="T9" s="5"/>
      <c r="U9" s="25"/>
      <c r="V9" s="24"/>
      <c r="W9" s="5"/>
      <c r="X9" s="25"/>
      <c r="Y9" s="24"/>
    </row>
    <row r="10" ht="15.75" customHeight="1">
      <c r="A10" s="11"/>
      <c r="B10" s="19">
        <v>3.0</v>
      </c>
      <c r="C10" s="20">
        <v>45717.0</v>
      </c>
      <c r="D10" s="21">
        <v>151.0</v>
      </c>
      <c r="E10" s="22"/>
      <c r="F10" s="23"/>
      <c r="G10" s="24"/>
      <c r="H10" s="5"/>
      <c r="I10" s="24"/>
      <c r="J10" s="24"/>
      <c r="K10" s="5"/>
      <c r="L10" s="24"/>
      <c r="M10" s="24"/>
      <c r="N10" s="5"/>
      <c r="O10" s="24"/>
      <c r="P10" s="24"/>
      <c r="Q10" s="5"/>
      <c r="R10" s="24"/>
      <c r="S10" s="24"/>
      <c r="T10" s="5"/>
      <c r="U10" s="24"/>
      <c r="V10" s="24"/>
      <c r="W10" s="5"/>
      <c r="X10" s="24"/>
      <c r="Y10" s="24"/>
    </row>
    <row r="11" ht="15.75" customHeight="1">
      <c r="A11" s="11"/>
      <c r="B11" s="19">
        <v>4.0</v>
      </c>
      <c r="C11" s="20">
        <v>45748.0</v>
      </c>
      <c r="D11" s="21">
        <v>258.0</v>
      </c>
      <c r="E11" s="22"/>
      <c r="F11" s="23"/>
      <c r="G11" s="24"/>
      <c r="H11" s="5"/>
      <c r="I11" s="24"/>
      <c r="J11" s="24"/>
      <c r="K11" s="5"/>
      <c r="L11" s="24"/>
      <c r="M11" s="24"/>
      <c r="N11" s="5"/>
      <c r="O11" s="24"/>
      <c r="P11" s="24"/>
      <c r="Q11" s="5"/>
      <c r="R11" s="24"/>
      <c r="S11" s="24"/>
      <c r="T11" s="5"/>
      <c r="U11" s="24"/>
      <c r="V11" s="24"/>
      <c r="W11" s="5"/>
      <c r="X11" s="24"/>
      <c r="Y11" s="24"/>
    </row>
    <row r="12" ht="15.75" customHeight="1">
      <c r="A12" s="11"/>
      <c r="B12" s="19">
        <v>5.0</v>
      </c>
      <c r="C12" s="20">
        <v>45778.0</v>
      </c>
      <c r="D12" s="21">
        <v>208.0</v>
      </c>
      <c r="E12" s="22"/>
      <c r="F12" s="23"/>
      <c r="G12" s="24"/>
      <c r="H12" s="5"/>
      <c r="I12" s="24"/>
      <c r="J12" s="24"/>
      <c r="K12" s="5"/>
      <c r="L12" s="24"/>
      <c r="M12" s="24"/>
      <c r="N12" s="5"/>
      <c r="O12" s="24"/>
      <c r="P12" s="24"/>
      <c r="Q12" s="5"/>
      <c r="R12" s="24"/>
      <c r="S12" s="24"/>
      <c r="T12" s="5"/>
      <c r="U12" s="24"/>
      <c r="V12" s="24"/>
      <c r="W12" s="5"/>
      <c r="X12" s="24"/>
      <c r="Y12" s="24"/>
    </row>
    <row r="13" ht="15.75" customHeight="1">
      <c r="A13" s="11"/>
      <c r="B13" s="19">
        <v>6.0</v>
      </c>
      <c r="C13" s="20">
        <v>45809.0</v>
      </c>
      <c r="D13" s="21">
        <v>262.0</v>
      </c>
      <c r="E13" s="22"/>
      <c r="F13" s="23"/>
      <c r="G13" s="24"/>
      <c r="H13" s="5"/>
      <c r="I13" s="24"/>
      <c r="J13" s="24"/>
      <c r="K13" s="5"/>
      <c r="L13" s="24"/>
      <c r="M13" s="24"/>
      <c r="N13" s="5"/>
      <c r="O13" s="24"/>
      <c r="P13" s="24"/>
      <c r="Q13" s="5"/>
      <c r="R13" s="24"/>
      <c r="S13" s="24"/>
      <c r="T13" s="5"/>
      <c r="U13" s="24"/>
      <c r="V13" s="24"/>
      <c r="W13" s="5"/>
      <c r="X13" s="24"/>
      <c r="Y13" s="24"/>
    </row>
    <row r="14" ht="15.75" customHeight="1">
      <c r="A14" s="11"/>
      <c r="B14" s="19">
        <v>7.0</v>
      </c>
      <c r="C14" s="20">
        <v>45839.0</v>
      </c>
      <c r="D14" s="21">
        <v>96.0</v>
      </c>
      <c r="E14" s="26"/>
      <c r="F14" s="23"/>
      <c r="G14" s="24"/>
      <c r="H14" s="5"/>
      <c r="I14" s="27"/>
      <c r="J14" s="24"/>
      <c r="K14" s="5"/>
      <c r="L14" s="27"/>
      <c r="M14" s="24"/>
      <c r="N14" s="5"/>
      <c r="O14" s="27"/>
      <c r="P14" s="24"/>
      <c r="Q14" s="5"/>
      <c r="R14" s="27"/>
      <c r="S14" s="24"/>
      <c r="T14" s="5"/>
      <c r="U14" s="27"/>
      <c r="V14" s="24"/>
      <c r="W14" s="5"/>
      <c r="X14" s="27"/>
      <c r="Y14" s="24"/>
    </row>
    <row r="15" ht="15.75" customHeight="1">
      <c r="A15" s="11"/>
      <c r="B15" s="19">
        <v>8.0</v>
      </c>
      <c r="C15" s="20">
        <v>45870.0</v>
      </c>
      <c r="D15" s="21">
        <v>86.0</v>
      </c>
      <c r="E15" s="26"/>
      <c r="F15" s="23"/>
      <c r="G15" s="24"/>
      <c r="H15" s="5"/>
      <c r="I15" s="27"/>
      <c r="J15" s="24"/>
      <c r="K15" s="5"/>
      <c r="L15" s="27"/>
      <c r="M15" s="24"/>
      <c r="N15" s="5"/>
      <c r="O15" s="27"/>
      <c r="P15" s="24"/>
      <c r="Q15" s="5"/>
      <c r="R15" s="27"/>
      <c r="S15" s="24"/>
      <c r="T15" s="5"/>
      <c r="U15" s="27"/>
      <c r="V15" s="24"/>
      <c r="W15" s="5"/>
      <c r="X15" s="27"/>
      <c r="Y15" s="24"/>
    </row>
    <row r="16" ht="15.75" customHeight="1">
      <c r="A16" s="11"/>
      <c r="B16" s="19">
        <v>9.0</v>
      </c>
      <c r="C16" s="20">
        <v>45901.0</v>
      </c>
      <c r="D16" s="21">
        <v>157.0</v>
      </c>
      <c r="E16" s="26"/>
      <c r="F16" s="23"/>
      <c r="G16" s="24"/>
      <c r="H16" s="5"/>
      <c r="I16" s="27"/>
      <c r="J16" s="24"/>
      <c r="K16" s="5"/>
      <c r="L16" s="27"/>
      <c r="M16" s="24"/>
      <c r="N16" s="5"/>
      <c r="O16" s="27"/>
      <c r="P16" s="24"/>
      <c r="Q16" s="5"/>
      <c r="R16" s="27"/>
      <c r="S16" s="24"/>
      <c r="T16" s="5"/>
      <c r="U16" s="27"/>
      <c r="V16" s="24"/>
      <c r="W16" s="5"/>
      <c r="X16" s="27"/>
      <c r="Y16" s="24"/>
    </row>
    <row r="17" ht="15.75" customHeight="1">
      <c r="A17" s="11"/>
      <c r="B17" s="19">
        <v>10.0</v>
      </c>
      <c r="C17" s="20">
        <v>45931.0</v>
      </c>
      <c r="D17" s="21">
        <v>380.0</v>
      </c>
      <c r="E17" s="26"/>
      <c r="F17" s="23"/>
      <c r="G17" s="24"/>
      <c r="H17" s="5"/>
      <c r="I17" s="27"/>
      <c r="J17" s="24"/>
      <c r="K17" s="5"/>
      <c r="L17" s="27"/>
      <c r="M17" s="24"/>
      <c r="N17" s="5"/>
      <c r="O17" s="27"/>
      <c r="P17" s="24"/>
      <c r="Q17" s="5"/>
      <c r="R17" s="27"/>
      <c r="S17" s="24"/>
      <c r="T17" s="5"/>
      <c r="U17" s="27"/>
      <c r="V17" s="24"/>
      <c r="W17" s="5"/>
      <c r="X17" s="27"/>
      <c r="Y17" s="24"/>
    </row>
    <row r="18" ht="15.75" customHeight="1">
      <c r="A18" s="11"/>
      <c r="B18" s="19">
        <v>11.0</v>
      </c>
      <c r="C18" s="20">
        <v>45962.0</v>
      </c>
      <c r="D18" s="21">
        <v>146.0</v>
      </c>
      <c r="E18" s="26"/>
      <c r="F18" s="23"/>
      <c r="G18" s="24"/>
      <c r="H18" s="5"/>
      <c r="I18" s="27"/>
      <c r="J18" s="24"/>
      <c r="K18" s="5"/>
      <c r="L18" s="27"/>
      <c r="M18" s="24"/>
      <c r="N18" s="5"/>
      <c r="O18" s="27"/>
      <c r="P18" s="24"/>
      <c r="Q18" s="5"/>
      <c r="R18" s="27"/>
      <c r="S18" s="24"/>
      <c r="T18" s="5"/>
      <c r="U18" s="27"/>
      <c r="V18" s="24"/>
      <c r="W18" s="5"/>
      <c r="X18" s="27"/>
      <c r="Y18" s="24"/>
    </row>
    <row r="19" ht="15.75" customHeight="1">
      <c r="A19" s="11"/>
      <c r="B19" s="19">
        <v>12.0</v>
      </c>
      <c r="C19" s="20">
        <v>45992.0</v>
      </c>
      <c r="D19" s="21">
        <v>121.0</v>
      </c>
      <c r="E19" s="26"/>
      <c r="F19" s="23"/>
      <c r="G19" s="24"/>
      <c r="H19" s="5"/>
      <c r="I19" s="27"/>
      <c r="J19" s="24"/>
      <c r="K19" s="5"/>
      <c r="L19" s="27"/>
      <c r="M19" s="24"/>
      <c r="N19" s="5"/>
      <c r="O19" s="27"/>
      <c r="P19" s="24"/>
      <c r="Q19" s="5"/>
      <c r="R19" s="27"/>
      <c r="S19" s="24"/>
      <c r="T19" s="5"/>
      <c r="U19" s="27"/>
      <c r="V19" s="24"/>
      <c r="W19" s="5"/>
      <c r="X19" s="27"/>
      <c r="Y19" s="24"/>
    </row>
    <row r="20" ht="15.75" customHeight="1">
      <c r="A20" s="11"/>
      <c r="B20" s="19">
        <v>13.0</v>
      </c>
      <c r="C20" s="20">
        <v>46023.0</v>
      </c>
      <c r="D20" s="21">
        <v>25.0</v>
      </c>
      <c r="E20" s="26">
        <v>320.45</v>
      </c>
      <c r="F20" s="23">
        <f>(E20-$D$3)/D20</f>
        <v>7.618</v>
      </c>
      <c r="G20" s="24"/>
      <c r="H20" s="5"/>
      <c r="I20" s="28"/>
      <c r="J20" s="24"/>
      <c r="K20" s="5"/>
      <c r="L20" s="28"/>
      <c r="M20" s="24"/>
      <c r="N20" s="5"/>
      <c r="O20" s="28"/>
      <c r="P20" s="24"/>
      <c r="Q20" s="5"/>
      <c r="R20" s="28"/>
      <c r="S20" s="24"/>
      <c r="T20" s="5"/>
      <c r="U20" s="28"/>
      <c r="V20" s="24"/>
      <c r="W20" s="5"/>
      <c r="X20" s="28"/>
      <c r="Y20" s="24"/>
    </row>
    <row r="21" ht="15.75" customHeight="1">
      <c r="A21" s="11"/>
      <c r="B21" s="29">
        <v>14.0</v>
      </c>
      <c r="C21" s="20"/>
      <c r="D21" s="23"/>
      <c r="E21" s="30"/>
      <c r="F21" s="23"/>
      <c r="G21" s="31"/>
      <c r="H21" s="24"/>
      <c r="I21" s="32"/>
      <c r="J21" s="31"/>
      <c r="K21" s="24"/>
      <c r="L21" s="32"/>
      <c r="M21" s="24"/>
      <c r="N21" s="24"/>
      <c r="O21" s="32"/>
      <c r="P21" s="24"/>
      <c r="Q21" s="24"/>
      <c r="R21" s="32"/>
      <c r="S21" s="31"/>
      <c r="T21" s="24"/>
      <c r="U21" s="32"/>
      <c r="V21" s="31"/>
      <c r="W21" s="24"/>
      <c r="X21" s="32"/>
      <c r="Y21" s="31"/>
    </row>
    <row r="22" ht="15.75" customHeight="1">
      <c r="A22" s="11"/>
      <c r="B22" s="29"/>
      <c r="C22" s="33" t="s">
        <v>15</v>
      </c>
      <c r="D22" s="34">
        <f>AVERAGE(D9:D21)</f>
        <v>165.75</v>
      </c>
      <c r="E22" s="35">
        <f t="shared" ref="E22:F22" si="1">AVERAGE(E14:E21)</f>
        <v>320.45</v>
      </c>
      <c r="F22" s="36">
        <f t="shared" si="1"/>
        <v>7.618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ht="15.75" customHeight="1">
      <c r="A23" s="11"/>
      <c r="B23" s="29"/>
      <c r="C23" s="33" t="s">
        <v>16</v>
      </c>
      <c r="D23" s="38">
        <f>(D22*12*1.1)/1400</f>
        <v>1.562785714</v>
      </c>
      <c r="E23" s="38"/>
      <c r="F23" s="1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ht="15.75" customHeight="1">
      <c r="A24" s="11"/>
      <c r="B24" s="29"/>
      <c r="C24" s="33" t="s">
        <v>17</v>
      </c>
      <c r="D24" s="38">
        <f>D23/$C$7*1000</f>
        <v>2.604642857</v>
      </c>
      <c r="E24" s="38"/>
      <c r="F24" s="1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ht="15.75" customHeight="1">
      <c r="A25" s="11" t="s">
        <v>18</v>
      </c>
      <c r="B25" s="29"/>
      <c r="C25" s="40" t="s">
        <v>19</v>
      </c>
      <c r="D25" s="41">
        <f>ROUND(D24,0)*$C$7/1000</f>
        <v>1.8</v>
      </c>
      <c r="E25" s="42"/>
      <c r="F25" s="4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ht="15.75" customHeight="1">
      <c r="A26" s="11"/>
      <c r="B26" s="29"/>
      <c r="C26" s="40" t="s">
        <v>20</v>
      </c>
      <c r="D26" s="44">
        <f>D25/$C$7*1000</f>
        <v>3</v>
      </c>
      <c r="E26" s="42"/>
      <c r="F26" s="43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ht="15.75" customHeight="1">
      <c r="A27" s="11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4"/>
      <c r="B29" s="4"/>
      <c r="C29" s="4" t="s">
        <v>21</v>
      </c>
      <c r="D29" s="4">
        <f t="shared" ref="D29:D30" si="2">sum(25:25)</f>
        <v>1.8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4"/>
      <c r="B30" s="4"/>
      <c r="C30" s="4" t="s">
        <v>22</v>
      </c>
      <c r="D30" s="4">
        <f t="shared" si="2"/>
        <v>3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4"/>
      <c r="B36" s="4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4"/>
      <c r="B37" s="4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4"/>
      <c r="B38" s="4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4"/>
      <c r="B39" s="45"/>
      <c r="C39" s="5"/>
      <c r="D39" s="5"/>
      <c r="E39" s="5"/>
      <c r="F39" s="4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4"/>
      <c r="B40" s="45"/>
      <c r="C40" s="5"/>
      <c r="D40" s="5"/>
      <c r="E40" s="5"/>
      <c r="F40" s="4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4"/>
      <c r="B41" s="45"/>
      <c r="C41" s="5"/>
      <c r="D41" s="5"/>
      <c r="E41" s="5"/>
      <c r="F41" s="4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4"/>
      <c r="B42" s="45"/>
      <c r="C42" s="5"/>
      <c r="D42" s="28"/>
      <c r="E42" s="5"/>
      <c r="F42" s="4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5"/>
      <c r="C43" s="5"/>
      <c r="D43" s="28"/>
      <c r="E43" s="5"/>
      <c r="F43" s="4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5"/>
      <c r="C44" s="5"/>
      <c r="D44" s="28"/>
      <c r="E44" s="5"/>
      <c r="F44" s="4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5"/>
      <c r="C45" s="5"/>
      <c r="D45" s="28"/>
      <c r="E45" s="5"/>
      <c r="F45" s="5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5"/>
      <c r="C46" s="5"/>
      <c r="D46" s="28"/>
      <c r="E46" s="5"/>
      <c r="F46" s="4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5"/>
      <c r="C47" s="5"/>
      <c r="D47" s="28"/>
      <c r="E47" s="5"/>
      <c r="F47" s="4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5"/>
      <c r="C48" s="5"/>
      <c r="D48" s="5"/>
      <c r="E48" s="5"/>
      <c r="F48" s="4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5"/>
      <c r="C49" s="5"/>
      <c r="D49" s="5"/>
      <c r="E49" s="5"/>
      <c r="F49" s="4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20"/>
      <c r="C50" s="4"/>
      <c r="D50" s="51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52"/>
      <c r="C51" s="53"/>
      <c r="D51" s="54"/>
      <c r="E51" s="28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52"/>
      <c r="C52" s="53"/>
      <c r="D52" s="54"/>
      <c r="E52" s="28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52"/>
      <c r="C53" s="54"/>
      <c r="D53" s="54"/>
      <c r="E53" s="28"/>
      <c r="F53" s="2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52"/>
      <c r="C54" s="54"/>
      <c r="D54" s="5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52"/>
      <c r="C55" s="54"/>
      <c r="D55" s="5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52"/>
      <c r="C56" s="54"/>
      <c r="D56" s="5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52"/>
      <c r="C57" s="54"/>
      <c r="D57" s="5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52"/>
      <c r="C58" s="54"/>
      <c r="D58" s="5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52"/>
      <c r="C59" s="54"/>
      <c r="D59" s="5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52"/>
      <c r="C60" s="54"/>
      <c r="D60" s="5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52"/>
      <c r="C61" s="54"/>
      <c r="D61" s="5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7"/>
      <c r="C62" s="54"/>
      <c r="D62" s="5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8"/>
  </hyperlinks>
  <drawing r:id="rId2"/>
</worksheet>
</file>